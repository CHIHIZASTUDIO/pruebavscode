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e54658ce2bde5a7/Desktop/FELO/pruebavscode/pruebavscode/proyectos/la-nuite/"/>
    </mc:Choice>
  </mc:AlternateContent>
  <xr:revisionPtr revIDLastSave="10" documentId="11_AAF1A10A40C9F263B21A8F82AA70FE541B14183E" xr6:coauthVersionLast="47" xr6:coauthVersionMax="47" xr10:uidLastSave="{31BC6199-C6C1-4704-A87B-D9514B3C8CC0}"/>
  <bookViews>
    <workbookView xWindow="-108" yWindow="-108" windowWidth="23256" windowHeight="12456" activeTab="1" xr2:uid="{00000000-000D-0000-FFFF-FFFF00000000}"/>
  </bookViews>
  <sheets>
    <sheet name="Resumen de exportación" sheetId="1" r:id="rId1"/>
    <sheet name="Proy. X Etapas - Proyecciones f" sheetId="2" r:id="rId2"/>
    <sheet name="Rentabilida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D9" i="2"/>
  <c r="C6" i="3" a="1"/>
  <c r="C6" i="3" s="1"/>
  <c r="C5" i="3" a="1"/>
  <c r="C5" i="3" s="1"/>
  <c r="E4" i="3" a="1"/>
  <c r="E4" i="3" s="1"/>
  <c r="E5" i="3" s="1" a="1"/>
  <c r="E5" i="3" s="1"/>
  <c r="E6" i="3" s="1" a="1"/>
  <c r="E6" i="3" s="1"/>
  <c r="C4" i="3" a="1"/>
  <c r="C4" i="3" s="1"/>
  <c r="E3" i="3" a="1"/>
  <c r="E3" i="3" s="1"/>
  <c r="C3" i="3" a="1"/>
  <c r="C3" i="3" s="1"/>
  <c r="G13" i="2" a="1"/>
  <c r="G13" i="2" s="1"/>
  <c r="H13" i="2" s="1" a="1"/>
  <c r="H13" i="2" s="1"/>
  <c r="G9" i="2" a="1"/>
  <c r="G9" i="2" s="1"/>
  <c r="H9" i="2" s="1" a="1"/>
  <c r="H9" i="2" s="1"/>
  <c r="I5" i="2" a="1"/>
  <c r="I5" i="2" s="1"/>
  <c r="J5" i="2" s="1" a="1"/>
  <c r="J5" i="2" s="1"/>
  <c r="L5" i="2" s="1" a="1"/>
  <c r="L5" i="2" s="1"/>
  <c r="M5" i="2" s="1" a="1"/>
  <c r="M5" i="2" s="1"/>
  <c r="G5" i="2" a="1"/>
  <c r="G5" i="2" s="1"/>
  <c r="H5" i="2" s="1" a="1"/>
  <c r="H5" i="2" s="1"/>
  <c r="I3" i="2" a="1"/>
  <c r="I3" i="2" s="1"/>
  <c r="J3" i="2" s="1" a="1"/>
  <c r="J3" i="2" s="1"/>
  <c r="L3" i="2" s="1" a="1"/>
  <c r="L3" i="2" s="1"/>
  <c r="M3" i="2" s="1" a="1"/>
  <c r="M3" i="2" s="1"/>
  <c r="D3" i="3" s="1" a="1"/>
  <c r="D3" i="3" s="1"/>
  <c r="G3" i="2" a="1"/>
  <c r="G3" i="2" s="1"/>
  <c r="H3" i="2" s="1" a="1"/>
  <c r="H3" i="2" s="1"/>
  <c r="I9" i="2" l="1" a="1"/>
  <c r="I9" i="2" s="1"/>
  <c r="J9" i="2" s="1" a="1"/>
  <c r="J9" i="2" s="1"/>
  <c r="L9" i="2" s="1" a="1"/>
  <c r="L9" i="2" s="1"/>
  <c r="M9" i="2" s="1" a="1"/>
  <c r="M9" i="2" s="1"/>
  <c r="I13" i="2" a="1"/>
  <c r="I13" i="2" s="1"/>
  <c r="J13" i="2" s="1" a="1"/>
  <c r="J13" i="2" s="1"/>
  <c r="L13" i="2" s="1" a="1"/>
  <c r="L13" i="2" s="1"/>
  <c r="M13" i="2" s="1" a="1"/>
  <c r="M13" i="2" s="1"/>
  <c r="G3" i="3" a="1"/>
  <c r="G3" i="3" s="1"/>
  <c r="H3" i="3" s="1" a="1"/>
  <c r="H3" i="3" s="1"/>
  <c r="O3" i="2" s="1" a="1"/>
  <c r="O3" i="2" s="1"/>
  <c r="F3" i="3" a="1"/>
  <c r="F3" i="3" s="1"/>
  <c r="M7" i="2" a="1"/>
  <c r="M7" i="2" s="1"/>
  <c r="D4" i="3" a="1"/>
  <c r="D4" i="3" s="1"/>
  <c r="G4" i="3" l="1" a="1"/>
  <c r="G4" i="3" s="1"/>
  <c r="H4" i="3" s="1" a="1"/>
  <c r="H4" i="3" s="1"/>
  <c r="O5" i="2" s="1" a="1"/>
  <c r="O5" i="2" s="1"/>
  <c r="F4" i="3" a="1"/>
  <c r="F4" i="3" s="1"/>
  <c r="D6" i="3" a="1"/>
  <c r="D6" i="3" s="1"/>
  <c r="M15" i="2" a="1"/>
  <c r="M15" i="2" s="1"/>
  <c r="M11" i="2" a="1"/>
  <c r="M11" i="2" s="1"/>
  <c r="D5" i="3" a="1"/>
  <c r="D5" i="3" s="1"/>
  <c r="G5" i="3" l="1" a="1"/>
  <c r="G5" i="3" s="1"/>
  <c r="H5" i="3" s="1" a="1"/>
  <c r="H5" i="3" s="1"/>
  <c r="O9" i="2" s="1" a="1"/>
  <c r="O9" i="2" s="1"/>
  <c r="F5" i="3" a="1"/>
  <c r="F5" i="3" s="1"/>
  <c r="G6" i="3" a="1"/>
  <c r="G6" i="3" s="1"/>
  <c r="H6" i="3" s="1" a="1"/>
  <c r="H6" i="3" s="1"/>
  <c r="O13" i="2" s="1" a="1"/>
  <c r="O13" i="2" s="1"/>
  <c r="F6" i="3" a="1"/>
  <c r="F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<sst xmlns="http://schemas.openxmlformats.org/spreadsheetml/2006/main" count="45" uniqueCount="39">
  <si>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</si>
  <si>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</si>
  <si>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</si>
  <si>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</si>
  <si>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Proy. X Etapas</t>
  </si>
  <si>
    <t>Proyecciones financieras por Etapas (O, R, U)</t>
  </si>
  <si>
    <t>Proy. X Etapas - Proyecciones f</t>
  </si>
  <si>
    <t>Unidades (U)</t>
  </si>
  <si>
    <t>Tarifa (R)</t>
  </si>
  <si>
    <r>
      <rPr>
        <b/>
        <sz val="10"/>
        <color indexed="15"/>
        <rFont val="Helvetica Neue"/>
      </rPr>
      <t xml:space="preserve">Ocupación (O) </t>
    </r>
    <r>
      <rPr>
        <i/>
        <sz val="10"/>
        <color indexed="15"/>
        <rFont val="Helvetica Neue"/>
      </rPr>
      <t>semanal (días)</t>
    </r>
  </si>
  <si>
    <r>
      <rPr>
        <b/>
        <sz val="10"/>
        <color indexed="15"/>
        <rFont val="Helvetica Neue"/>
      </rPr>
      <t xml:space="preserve">Ocupación </t>
    </r>
    <r>
      <rPr>
        <i/>
        <sz val="10"/>
        <color indexed="15"/>
        <rFont val="Helvetica Neue"/>
      </rPr>
      <t>mensual (días)</t>
    </r>
  </si>
  <si>
    <r>
      <rPr>
        <b/>
        <sz val="10"/>
        <color indexed="15"/>
        <rFont val="Helvetica Neue"/>
      </rPr>
      <t xml:space="preserve">Ocupación </t>
    </r>
    <r>
      <rPr>
        <i/>
        <sz val="10"/>
        <color indexed="15"/>
        <rFont val="Helvetica Neue"/>
      </rPr>
      <t>mensual (%)</t>
    </r>
  </si>
  <si>
    <r>
      <rPr>
        <b/>
        <sz val="10"/>
        <color indexed="15"/>
        <rFont val="Helvetica Neue"/>
      </rPr>
      <t xml:space="preserve">Ingreso semanal </t>
    </r>
    <r>
      <rPr>
        <i/>
        <sz val="10"/>
        <color indexed="15"/>
        <rFont val="Helvetica Neue"/>
      </rPr>
      <t>(en pesos)</t>
    </r>
  </si>
  <si>
    <r>
      <rPr>
        <b/>
        <sz val="10"/>
        <color indexed="15"/>
        <rFont val="Helvetica Neue"/>
      </rPr>
      <t xml:space="preserve">Ingreso semanal </t>
    </r>
    <r>
      <rPr>
        <i/>
        <sz val="10"/>
        <color indexed="15"/>
        <rFont val="Helvetica Neue"/>
      </rPr>
      <t>(en US$)</t>
    </r>
  </si>
  <si>
    <t># semana</t>
  </si>
  <si>
    <r>
      <rPr>
        <b/>
        <sz val="10"/>
        <color indexed="15"/>
        <rFont val="Helvetica Neue"/>
      </rPr>
      <t xml:space="preserve">Ingreso mensual </t>
    </r>
    <r>
      <rPr>
        <i/>
        <sz val="10"/>
        <color indexed="15"/>
        <rFont val="Helvetica Neue"/>
      </rPr>
      <t>(en US$)</t>
    </r>
  </si>
  <si>
    <r>
      <rPr>
        <b/>
        <sz val="10"/>
        <color indexed="15"/>
        <rFont val="Helvetica Neue"/>
      </rPr>
      <t xml:space="preserve">Ingreso anual </t>
    </r>
    <r>
      <rPr>
        <i/>
        <sz val="10"/>
        <color indexed="15"/>
        <rFont val="Helvetica Neue"/>
      </rPr>
      <t>(en US$)</t>
    </r>
  </si>
  <si>
    <t>Rentabilidad</t>
  </si>
  <si>
    <t>Escenario actual</t>
  </si>
  <si>
    <t>Es el punto de equilibrio actual</t>
  </si>
  <si>
    <t>Escenario (O)</t>
  </si>
  <si>
    <t>El % de rentabilidad incluye la inversión total</t>
  </si>
  <si>
    <t>Ingresos adicionales (O)</t>
  </si>
  <si>
    <t>Escenario (O+R)</t>
  </si>
  <si>
    <t>Ingresos adicionales (O+R)</t>
  </si>
  <si>
    <t>Escenario (O+R+U)</t>
  </si>
  <si>
    <t>Ingresos adicionales (O+R+U))</t>
  </si>
  <si>
    <t>Tabla 1</t>
  </si>
  <si>
    <t>Inversión COP</t>
  </si>
  <si>
    <t>Inversión US$</t>
  </si>
  <si>
    <t>Ingresos Brutos</t>
  </si>
  <si>
    <t>Costos Op.</t>
  </si>
  <si>
    <t>Ingresos Netos (COP)</t>
  </si>
  <si>
    <t>Ingresos Netos (US$)</t>
  </si>
  <si>
    <t>Rentabilidad (%)</t>
  </si>
  <si>
    <t>Escenario inicial</t>
  </si>
  <si>
    <t>Escenario “O"</t>
  </si>
  <si>
    <t>Escenario “O+R"</t>
  </si>
  <si>
    <t>Escenario “O+R+U”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</si>
</sst>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 #,##0"/>
    <numFmt numFmtId="165" formatCode="[$$-409]\ #,##0"/>
    <numFmt numFmtId="166" formatCode="#,##0.0000%"/>
    <numFmt numFmtId="167" formatCode="#,##0%"/>
    <numFmt numFmtId="168" formatCode="#,##0.00%"/>
    <numFmt numFmtId="169" formatCode="&quot;$&quot;\ #,##0.00"/>
    <numFmt numFmtId="170" formatCode="0.0000%"/>
  </numFmts>
  <fonts count="16">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b/>
      <sz val="10"/>
      <color indexed="15"/>
      <name val="Helvetica Neue"/>
    </font>
    <font>
      <i/>
      <sz val="10"/>
      <color indexed="15"/>
      <name val="Helvetica Neue"/>
    </font>
    <font>
      <b/>
      <sz val="10"/>
      <color indexed="17"/>
      <name val="Helvetica Neue"/>
    </font>
    <font>
      <i/>
      <sz val="10"/>
      <color indexed="8"/>
      <name val="Garamond"/>
    </font>
    <font>
      <i/>
      <sz val="10"/>
      <color indexed="8"/>
      <name val="Helvetica Neue"/>
    </font>
    <font>
      <b/>
      <sz val="12"/>
      <color indexed="19"/>
      <name val="Helvetica Neue"/>
    </font>
    <font>
      <b/>
      <sz val="12"/>
      <color indexed="21"/>
      <name val="Helvetica Neue"/>
    </font>
    <font>
      <b/>
      <sz val="12"/>
      <color indexed="22"/>
      <name val="Helvetica Neue"/>
    </font>
    <font>
      <b/>
      <sz val="9"/>
      <color indexed="15"/>
      <name val="Helvetica Neue"/>
    </font>
    <font>
      <i/>
      <sz val="12"/>
      <color indexed="17"/>
      <name val="Garamond"/>
    </font>
    <font>
      <sz val="9"/>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s>
  <borders count="17">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bottom/>
      <diagonal/>
    </border>
    <border>
      <left style="thin">
        <color indexed="13"/>
      </left>
      <right/>
      <top/>
      <bottom/>
      <diagonal/>
    </border>
    <border>
      <left/>
      <right/>
      <top/>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bottom/>
      <diagonal/>
    </border>
    <border>
      <left style="thin">
        <color indexed="14"/>
      </left>
      <right style="thin">
        <color indexed="13"/>
      </right>
      <top style="thin">
        <color indexed="14"/>
      </top>
      <bottom style="thin">
        <color indexed="13"/>
      </bottom>
      <diagonal/>
    </border>
    <border>
      <left/>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right/>
      <top style="thin">
        <color indexed="13"/>
      </top>
      <bottom/>
      <diagonal/>
    </border>
    <border>
      <left/>
      <right style="thin">
        <color indexed="13"/>
      </right>
      <top/>
      <bottom/>
      <diagonal/>
    </border>
    <border>
      <left/>
      <right/>
      <top/>
      <bottom style="thin">
        <color indexed="13"/>
      </bottom>
      <diagonal/>
    </border>
    <border>
      <left/>
      <right style="thin">
        <color indexed="13"/>
      </right>
      <top/>
      <bottom style="thin">
        <color indexed="14"/>
      </bottom>
      <diagonal/>
    </border>
    <border>
      <left style="thin">
        <color indexed="13"/>
      </left>
      <right style="thin">
        <color indexed="14"/>
      </right>
      <top style="thin">
        <color indexed="14"/>
      </top>
      <bottom style="thin">
        <color indexed="13"/>
      </bottom>
      <diagonal/>
    </border>
    <border>
      <left style="thin">
        <color indexed="13"/>
      </left>
      <right style="thin">
        <color indexed="14"/>
      </right>
      <top style="thin">
        <color indexed="13"/>
      </top>
      <bottom style="thin">
        <color indexed="13"/>
      </bottom>
      <diagonal/>
    </border>
  </borders>
  <cellStyleXfs count="1">
    <xf numFmtId="0" fontId="0" fillId="0" borderId="0" applyNumberFormat="0" applyFill="0" applyBorder="0" applyProtection="0">
      <alignment vertical="top" wrapText="1"/>
    </xf>
  </cellStyleXfs>
  <cellXfs count="79">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0" fontId="4" fillId="4" borderId="1" xfId="0" applyFont="1" applyFill="1" applyBorder="1">
      <alignment vertical="top" wrapText="1"/>
    </xf>
    <xf numFmtId="0" fontId="4" fillId="0" borderId="2" xfId="0" applyFont="1" applyBorder="1">
      <alignment vertical="top" wrapText="1"/>
    </xf>
    <xf numFmtId="49" fontId="5" fillId="4" borderId="1" xfId="0" applyNumberFormat="1" applyFont="1" applyFill="1" applyBorder="1" applyAlignment="1">
      <alignment horizontal="center" vertical="top" wrapText="1"/>
    </xf>
    <xf numFmtId="0" fontId="5" fillId="0" borderId="2" xfId="0" applyFont="1" applyBorder="1" applyAlignment="1">
      <alignment horizontal="center" vertical="top" wrapText="1"/>
    </xf>
    <xf numFmtId="49" fontId="5" fillId="4" borderId="1" xfId="0" applyNumberFormat="1" applyFont="1" applyFill="1" applyBorder="1" applyAlignment="1">
      <alignment horizontal="center" vertical="center" wrapText="1"/>
    </xf>
    <xf numFmtId="0" fontId="4" fillId="0" borderId="3" xfId="0" applyFont="1" applyBorder="1">
      <alignment vertical="top" wrapText="1"/>
    </xf>
    <xf numFmtId="0" fontId="4" fillId="0" borderId="4" xfId="0" applyFont="1" applyBorder="1">
      <alignment vertical="top" wrapText="1"/>
    </xf>
    <xf numFmtId="49" fontId="4" fillId="5" borderId="5" xfId="0" applyNumberFormat="1" applyFont="1" applyFill="1" applyBorder="1">
      <alignment vertical="top" wrapText="1"/>
    </xf>
    <xf numFmtId="0" fontId="4" fillId="0" borderId="6" xfId="0" applyFont="1" applyBorder="1">
      <alignment vertical="top" wrapText="1"/>
    </xf>
    <xf numFmtId="0" fontId="0" fillId="0" borderId="7" xfId="0" applyNumberFormat="1" applyBorder="1" applyAlignment="1">
      <alignment horizontal="center" vertical="center" wrapText="1"/>
    </xf>
    <xf numFmtId="164" fontId="0" fillId="0" borderId="5" xfId="0" applyNumberFormat="1" applyBorder="1" applyAlignment="1">
      <alignment horizontal="center" vertical="center" wrapText="1"/>
    </xf>
    <xf numFmtId="0" fontId="0" fillId="0" borderId="5" xfId="0" applyNumberFormat="1" applyBorder="1" applyAlignment="1">
      <alignment horizontal="center" vertical="center" wrapText="1"/>
    </xf>
    <xf numFmtId="0" fontId="0" fillId="0" borderId="2" xfId="0" applyBorder="1" applyAlignment="1">
      <alignment horizontal="center" vertical="center" wrapText="1"/>
    </xf>
    <xf numFmtId="10" fontId="0" fillId="0" borderId="5" xfId="0" applyNumberFormat="1" applyBorder="1" applyAlignment="1">
      <alignment horizontal="center" vertical="center" wrapText="1"/>
    </xf>
    <xf numFmtId="165" fontId="0" fillId="0" borderId="5" xfId="0" applyNumberFormat="1" applyBorder="1" applyAlignment="1">
      <alignment horizontal="center" vertical="center" wrapText="1"/>
    </xf>
    <xf numFmtId="0" fontId="0" fillId="0" borderId="2" xfId="0" applyBorder="1">
      <alignment vertical="top" wrapText="1"/>
    </xf>
    <xf numFmtId="166" fontId="7" fillId="0" borderId="5" xfId="0" applyNumberFormat="1" applyFont="1" applyBorder="1" applyAlignment="1">
      <alignment horizontal="center" vertical="center" wrapText="1"/>
    </xf>
    <xf numFmtId="0" fontId="0" fillId="0" borderId="3" xfId="0" applyBorder="1">
      <alignment vertical="top" wrapText="1"/>
    </xf>
    <xf numFmtId="49" fontId="8" fillId="0" borderId="4" xfId="0" applyNumberFormat="1" applyFont="1" applyBorder="1">
      <alignment vertical="top" wrapText="1"/>
    </xf>
    <xf numFmtId="0" fontId="4" fillId="0" borderId="8" xfId="0" applyFont="1" applyBorder="1">
      <alignment vertical="top" wrapText="1"/>
    </xf>
    <xf numFmtId="0" fontId="0" fillId="0" borderId="8" xfId="0" applyBorder="1" applyAlignment="1">
      <alignment horizontal="center" vertical="center" wrapText="1"/>
    </xf>
    <xf numFmtId="164" fontId="0" fillId="0" borderId="8" xfId="0" applyNumberFormat="1" applyBorder="1" applyAlignment="1">
      <alignment horizontal="center" vertical="center" wrapText="1"/>
    </xf>
    <xf numFmtId="0" fontId="0" fillId="0" borderId="4" xfId="0" applyBorder="1" applyAlignment="1">
      <alignment horizontal="center" vertical="center" wrapText="1"/>
    </xf>
    <xf numFmtId="0" fontId="0" fillId="0" borderId="4" xfId="0" applyBorder="1">
      <alignment vertical="top" wrapText="1"/>
    </xf>
    <xf numFmtId="167" fontId="4" fillId="0" borderId="8" xfId="0" applyNumberFormat="1" applyFont="1" applyBorder="1" applyAlignment="1">
      <alignment horizontal="center" vertical="center" wrapText="1"/>
    </xf>
    <xf numFmtId="49" fontId="5" fillId="6" borderId="9" xfId="0" applyNumberFormat="1" applyFont="1" applyFill="1" applyBorder="1">
      <alignment vertical="top" wrapText="1"/>
    </xf>
    <xf numFmtId="0" fontId="5" fillId="0" borderId="6" xfId="0" applyFont="1" applyBorder="1">
      <alignment vertical="top" wrapText="1"/>
    </xf>
    <xf numFmtId="0" fontId="0" fillId="0" borderId="10" xfId="0" applyNumberFormat="1" applyBorder="1" applyAlignment="1">
      <alignment horizontal="center" vertical="center" wrapText="1"/>
    </xf>
    <xf numFmtId="164" fontId="0" fillId="0" borderId="9" xfId="0" applyNumberFormat="1" applyBorder="1" applyAlignment="1">
      <alignment horizontal="center" vertical="center" wrapText="1"/>
    </xf>
    <xf numFmtId="0" fontId="5" fillId="6" borderId="9" xfId="0" applyNumberFormat="1" applyFont="1" applyFill="1" applyBorder="1" applyAlignment="1">
      <alignment horizontal="center" vertical="center" wrapText="1"/>
    </xf>
    <xf numFmtId="0" fontId="5" fillId="0" borderId="2" xfId="0" applyFont="1" applyBorder="1" applyAlignment="1">
      <alignment horizontal="center" vertical="center" wrapText="1"/>
    </xf>
    <xf numFmtId="0" fontId="0" fillId="0" borderId="9" xfId="0" applyNumberFormat="1" applyBorder="1" applyAlignment="1">
      <alignment horizontal="center" vertical="center" wrapText="1"/>
    </xf>
    <xf numFmtId="10" fontId="0" fillId="0" borderId="9" xfId="0" applyNumberFormat="1" applyBorder="1" applyAlignment="1">
      <alignment horizontal="center" vertical="center" wrapText="1"/>
    </xf>
    <xf numFmtId="165" fontId="0" fillId="0" borderId="9" xfId="0" applyNumberFormat="1" applyBorder="1" applyAlignment="1">
      <alignment horizontal="center" vertical="center" wrapText="1"/>
    </xf>
    <xf numFmtId="165" fontId="7" fillId="0" borderId="9" xfId="0" applyNumberFormat="1" applyFont="1" applyBorder="1" applyAlignment="1">
      <alignment horizontal="center" vertical="center" wrapText="1"/>
    </xf>
    <xf numFmtId="0" fontId="5" fillId="0" borderId="2" xfId="0" applyFont="1" applyBorder="1">
      <alignment vertical="top" wrapText="1"/>
    </xf>
    <xf numFmtId="168" fontId="7" fillId="0" borderId="9" xfId="0" applyNumberFormat="1" applyFont="1" applyBorder="1" applyAlignment="1">
      <alignment horizontal="center" vertical="center" wrapText="1"/>
    </xf>
    <xf numFmtId="0" fontId="5" fillId="0" borderId="3" xfId="0" applyFont="1" applyBorder="1">
      <alignment vertical="top" wrapText="1"/>
    </xf>
    <xf numFmtId="0" fontId="4" fillId="0" borderId="11" xfId="0" applyFont="1" applyBorder="1">
      <alignment vertical="top" wrapText="1"/>
    </xf>
    <xf numFmtId="0" fontId="0" fillId="0" borderId="11" xfId="0" applyBorder="1" applyAlignment="1">
      <alignment horizontal="center" vertical="center" wrapText="1"/>
    </xf>
    <xf numFmtId="164" fontId="0" fillId="0" borderId="11" xfId="0" applyNumberFormat="1" applyBorder="1" applyAlignment="1">
      <alignment horizontal="center" vertical="center" wrapText="1"/>
    </xf>
    <xf numFmtId="167" fontId="4" fillId="0" borderId="11" xfId="0" applyNumberFormat="1" applyFont="1" applyBorder="1" applyAlignment="1">
      <alignment horizontal="center" vertical="center" wrapText="1"/>
    </xf>
    <xf numFmtId="164" fontId="0" fillId="0" borderId="4" xfId="0" applyNumberFormat="1" applyBorder="1" applyAlignment="1">
      <alignment horizontal="center" vertical="center" wrapText="1"/>
    </xf>
    <xf numFmtId="49" fontId="9" fillId="0" borderId="12" xfId="0" applyNumberFormat="1" applyFont="1" applyBorder="1" applyAlignment="1">
      <alignment horizontal="right" vertical="center" wrapText="1"/>
    </xf>
    <xf numFmtId="165" fontId="10" fillId="0" borderId="9" xfId="0" applyNumberFormat="1" applyFont="1" applyBorder="1" applyAlignment="1">
      <alignment horizontal="center" vertical="center" wrapText="1"/>
    </xf>
    <xf numFmtId="167" fontId="10" fillId="0" borderId="4" xfId="0" applyNumberFormat="1" applyFont="1" applyBorder="1" applyAlignment="1">
      <alignment horizontal="center" vertical="center" wrapText="1"/>
    </xf>
    <xf numFmtId="0" fontId="4" fillId="0" borderId="13" xfId="0" applyFont="1" applyBorder="1">
      <alignment vertical="top" wrapText="1"/>
    </xf>
    <xf numFmtId="0" fontId="0" fillId="0" borderId="13" xfId="0" applyBorder="1" applyAlignment="1">
      <alignment horizontal="center" vertical="center" wrapText="1"/>
    </xf>
    <xf numFmtId="164" fontId="0" fillId="0" borderId="13" xfId="0" applyNumberFormat="1" applyBorder="1" applyAlignment="1">
      <alignment horizontal="center" vertical="center" wrapText="1"/>
    </xf>
    <xf numFmtId="167" fontId="4" fillId="0" borderId="13" xfId="0" applyNumberFormat="1" applyFont="1" applyBorder="1" applyAlignment="1">
      <alignment horizontal="center" vertical="center" wrapText="1"/>
    </xf>
    <xf numFmtId="49" fontId="5" fillId="7" borderId="9" xfId="0" applyNumberFormat="1" applyFont="1" applyFill="1" applyBorder="1">
      <alignment vertical="top" wrapText="1"/>
    </xf>
    <xf numFmtId="164" fontId="5" fillId="7" borderId="9" xfId="0" applyNumberFormat="1" applyFont="1" applyFill="1" applyBorder="1" applyAlignment="1">
      <alignment horizontal="center" vertical="center" wrapText="1"/>
    </xf>
    <xf numFmtId="165" fontId="11" fillId="0" borderId="9" xfId="0" applyNumberFormat="1" applyFont="1" applyBorder="1" applyAlignment="1">
      <alignment horizontal="center" vertical="center" wrapText="1"/>
    </xf>
    <xf numFmtId="167" fontId="11" fillId="0" borderId="4" xfId="0" applyNumberFormat="1" applyFont="1" applyBorder="1" applyAlignment="1">
      <alignment horizontal="center" vertical="center" wrapText="1"/>
    </xf>
    <xf numFmtId="49" fontId="5" fillId="8" borderId="9" xfId="0" applyNumberFormat="1" applyFont="1" applyFill="1" applyBorder="1">
      <alignment vertical="top" wrapText="1"/>
    </xf>
    <xf numFmtId="0" fontId="5" fillId="8" borderId="10" xfId="0" applyNumberFormat="1" applyFont="1" applyFill="1" applyBorder="1" applyAlignment="1">
      <alignment horizontal="center" vertical="center" wrapText="1"/>
    </xf>
    <xf numFmtId="165" fontId="12" fillId="0" borderId="9" xfId="0" applyNumberFormat="1" applyFont="1" applyBorder="1" applyAlignment="1">
      <alignment horizontal="center" vertical="center" wrapText="1"/>
    </xf>
    <xf numFmtId="167" fontId="12" fillId="0" borderId="4" xfId="0" applyNumberFormat="1" applyFont="1" applyBorder="1" applyAlignment="1">
      <alignment horizontal="center" vertical="center" wrapText="1"/>
    </xf>
    <xf numFmtId="0" fontId="4" fillId="0" borderId="14" xfId="0" applyFont="1" applyBorder="1">
      <alignment vertical="top" wrapText="1"/>
    </xf>
    <xf numFmtId="49" fontId="13" fillId="9" borderId="1" xfId="0" applyNumberFormat="1" applyFont="1" applyFill="1" applyBorder="1" applyAlignment="1">
      <alignment horizontal="center" vertical="center" wrapText="1"/>
    </xf>
    <xf numFmtId="49" fontId="14" fillId="5" borderId="15" xfId="0" applyNumberFormat="1" applyFont="1" applyFill="1" applyBorder="1" applyAlignment="1">
      <alignment horizontal="center" vertical="center" wrapText="1"/>
    </xf>
    <xf numFmtId="169" fontId="15" fillId="0" borderId="7" xfId="0" applyNumberFormat="1" applyFont="1" applyBorder="1" applyAlignment="1">
      <alignment horizontal="center" vertical="center" wrapText="1"/>
    </xf>
    <xf numFmtId="165" fontId="15" fillId="0" borderId="5" xfId="0" applyNumberFormat="1" applyFont="1" applyBorder="1" applyAlignment="1">
      <alignment horizontal="center" vertical="center" wrapText="1"/>
    </xf>
    <xf numFmtId="164" fontId="15" fillId="0" borderId="5" xfId="0" applyNumberFormat="1" applyFont="1" applyBorder="1" applyAlignment="1">
      <alignment horizontal="center" vertical="center" wrapText="1"/>
    </xf>
    <xf numFmtId="170" fontId="15" fillId="0" borderId="5" xfId="0" applyNumberFormat="1" applyFont="1" applyBorder="1" applyAlignment="1">
      <alignment horizontal="center" vertical="center" wrapText="1"/>
    </xf>
    <xf numFmtId="49" fontId="14" fillId="5" borderId="16" xfId="0" applyNumberFormat="1" applyFont="1" applyFill="1" applyBorder="1" applyAlignment="1">
      <alignment horizontal="center" vertical="center" wrapText="1"/>
    </xf>
    <xf numFmtId="169" fontId="15" fillId="0" borderId="10" xfId="0" applyNumberFormat="1" applyFont="1" applyBorder="1" applyAlignment="1">
      <alignment horizontal="center" vertical="center" wrapText="1"/>
    </xf>
    <xf numFmtId="165" fontId="15" fillId="0" borderId="9" xfId="0" applyNumberFormat="1" applyFont="1" applyBorder="1" applyAlignment="1">
      <alignment horizontal="center" vertical="center" wrapText="1"/>
    </xf>
    <xf numFmtId="164" fontId="15" fillId="0" borderId="9" xfId="0" applyNumberFormat="1" applyFont="1" applyBorder="1" applyAlignment="1">
      <alignment horizontal="center" vertical="center" wrapText="1"/>
    </xf>
    <xf numFmtId="10" fontId="15" fillId="0" borderId="9" xfId="0" applyNumberFormat="1" applyFont="1" applyBorder="1" applyAlignment="1">
      <alignment horizontal="center" vertical="center" wrapText="1"/>
    </xf>
    <xf numFmtId="0" fontId="1" fillId="0" borderId="0" xfId="0" applyFont="1" applyAlignment="1">
      <alignment horizontal="left" vertical="top" wrapText="1"/>
    </xf>
    <xf numFmtId="0" fontId="0" fillId="0" borderId="0" xfId="0">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FEFFFE"/>
      <rgbColor rgb="FFDBDBDB"/>
      <rgbColor rgb="FF5E5E5E"/>
      <rgbColor rgb="FFFF968C"/>
      <rgbColor rgb="FFFE634D"/>
      <rgbColor rgb="FF1CB000"/>
      <rgbColor rgb="FF017000"/>
      <rgbColor rgb="FF960D52"/>
      <rgbColor rgb="FF919191"/>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05" customHeight="1"/>
  <cols>
    <col min="1" max="1" width="2" customWidth="1"/>
    <col min="2" max="4" width="33.5546875" customWidth="1"/>
  </cols>
  <sheetData>
    <row r="3" spans="2:4" ht="49.95" customHeight="1">
      <c r="B3" s="76" t="s">
        <v>0</v>
      </c>
      <c r="C3" s="77"/>
      <c r="D3" s="77"/>
    </row>
    <row r="7" spans="2:4" ht="34.799999999999997">
      <c r="B7" s="1" t="s">
        <v>1</v>
      </c>
      <c r="C7" s="1" t="s">
        <v>2</v>
      </c>
      <c r="D7" s="1" t="s">
        <v>3</v>
      </c>
    </row>
    <row r="9" spans="2:4" ht="15">
      <c r="B9" s="2" t="s">
        <v>4</v>
      </c>
      <c r="C9" s="2"/>
      <c r="D9" s="2"/>
    </row>
    <row r="10" spans="2:4" ht="30">
      <c r="B10" s="3"/>
      <c r="C10" s="3" t="s">
        <v>5</v>
      </c>
      <c r="D10" s="4" t="s">
        <v>6</v>
      </c>
    </row>
    <row r="11" spans="2:4" ht="15">
      <c r="B11" s="2" t="s">
        <v>17</v>
      </c>
      <c r="C11" s="2"/>
      <c r="D11" s="2"/>
    </row>
    <row r="12" spans="2:4" ht="15">
      <c r="B12" s="3"/>
      <c r="C12" s="3" t="s">
        <v>27</v>
      </c>
      <c r="D12" s="4" t="s">
        <v>17</v>
      </c>
    </row>
  </sheetData>
  <mergeCells count="1">
    <mergeCell ref="B3:D3"/>
  </mergeCells>
  <hyperlinks>
    <hyperlink ref="D10" location="'Proy. X Etapas - Proyecciones f'!R2C1" display="Proy. X Etapas - Proyecciones f" xr:uid="{00000000-0004-0000-0000-000000000000}"/>
    <hyperlink ref="D12" location="'Rentabilidad'!R2C1" display="Rentabilidad"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5"/>
  <sheetViews>
    <sheetView showGridLines="0" tabSelected="1" workbookViewId="0">
      <pane xSplit="2" ySplit="2" topLeftCell="C5" activePane="bottomRight" state="frozen"/>
      <selection pane="topRight"/>
      <selection pane="bottomLeft"/>
      <selection pane="bottomRight" activeCell="G9" sqref="G9"/>
    </sheetView>
  </sheetViews>
  <sheetFormatPr baseColWidth="10" defaultColWidth="16.33203125" defaultRowHeight="19.95" customHeight="1"/>
  <cols>
    <col min="1" max="1" width="19.88671875" style="5" customWidth="1"/>
    <col min="2" max="2" width="2.21875" style="5" customWidth="1"/>
    <col min="3" max="3" width="9.33203125" style="5" customWidth="1"/>
    <col min="4" max="5" width="16.33203125" style="5" customWidth="1"/>
    <col min="6" max="6" width="2.5546875" style="5" customWidth="1"/>
    <col min="7" max="12" width="16.33203125" style="5" customWidth="1"/>
    <col min="13" max="13" width="13.33203125" style="5" customWidth="1"/>
    <col min="14" max="14" width="2.88671875" style="5" customWidth="1"/>
    <col min="15" max="15" width="13.33203125" style="5" customWidth="1"/>
    <col min="16" max="16" width="1.6640625" style="5" customWidth="1"/>
    <col min="17" max="17" width="13.33203125" style="5" customWidth="1"/>
    <col min="18" max="18" width="16.33203125" style="5" customWidth="1"/>
    <col min="19" max="16384" width="16.33203125" style="5"/>
  </cols>
  <sheetData>
    <row r="1" spans="1:17" ht="27.6" customHeight="1">
      <c r="A1" s="78" t="s">
        <v>5</v>
      </c>
      <c r="B1" s="78"/>
      <c r="C1" s="78"/>
      <c r="D1" s="78"/>
      <c r="E1" s="78"/>
      <c r="F1" s="78"/>
      <c r="G1" s="78"/>
      <c r="H1" s="78"/>
      <c r="I1" s="78"/>
      <c r="J1" s="78"/>
      <c r="K1" s="78"/>
      <c r="L1" s="78"/>
      <c r="M1" s="78"/>
      <c r="N1" s="78"/>
      <c r="O1" s="78"/>
      <c r="P1" s="78"/>
      <c r="Q1" s="78"/>
    </row>
    <row r="2" spans="1:17" ht="32.25" customHeight="1">
      <c r="A2" s="6"/>
      <c r="B2" s="7"/>
      <c r="C2" s="8" t="s">
        <v>7</v>
      </c>
      <c r="D2" s="8" t="s">
        <v>8</v>
      </c>
      <c r="E2" s="8" t="s">
        <v>9</v>
      </c>
      <c r="F2" s="9"/>
      <c r="G2" s="8" t="s">
        <v>10</v>
      </c>
      <c r="H2" s="8" t="s">
        <v>11</v>
      </c>
      <c r="I2" s="8" t="s">
        <v>12</v>
      </c>
      <c r="J2" s="8" t="s">
        <v>13</v>
      </c>
      <c r="K2" s="8" t="s">
        <v>14</v>
      </c>
      <c r="L2" s="8" t="s">
        <v>15</v>
      </c>
      <c r="M2" s="8" t="s">
        <v>16</v>
      </c>
      <c r="N2" s="7"/>
      <c r="O2" s="10" t="s">
        <v>17</v>
      </c>
      <c r="P2" s="11"/>
      <c r="Q2" s="12"/>
    </row>
    <row r="3" spans="1:17" ht="32.549999999999997" customHeight="1">
      <c r="A3" s="13" t="s">
        <v>18</v>
      </c>
      <c r="B3" s="14"/>
      <c r="C3" s="15">
        <v>4</v>
      </c>
      <c r="D3" s="16">
        <v>655000</v>
      </c>
      <c r="E3" s="17">
        <v>1</v>
      </c>
      <c r="F3" s="18"/>
      <c r="G3" s="17" cm="1">
        <f t="array" ref="G3">C3*E3*4</f>
        <v>16</v>
      </c>
      <c r="H3" s="19" cm="1">
        <f t="array" ref="H3">G3/120</f>
        <v>0.13333333333333333</v>
      </c>
      <c r="I3" s="16" cm="1">
        <f t="array" ref="I3">C3*D3*E3</f>
        <v>2620000</v>
      </c>
      <c r="J3" s="16" cm="1">
        <f t="array" ref="J3">I3/3200</f>
        <v>818.75</v>
      </c>
      <c r="K3" s="17">
        <v>4</v>
      </c>
      <c r="L3" s="20" cm="1">
        <f t="array" ref="L3">J3*K3</f>
        <v>3275</v>
      </c>
      <c r="M3" s="20" cm="1">
        <f t="array" ref="M3">L3*12</f>
        <v>39300</v>
      </c>
      <c r="N3" s="21"/>
      <c r="O3" s="22" cm="1">
        <f t="array" ref="O3">Rentabilidad!H3</f>
        <v>2.4625000000000001E-6</v>
      </c>
      <c r="P3" s="23"/>
      <c r="Q3" s="24" t="s">
        <v>19</v>
      </c>
    </row>
    <row r="4" spans="1:17" ht="20.100000000000001" customHeight="1">
      <c r="A4" s="25"/>
      <c r="B4" s="12"/>
      <c r="C4" s="26"/>
      <c r="D4" s="27"/>
      <c r="E4" s="26"/>
      <c r="F4" s="28"/>
      <c r="G4" s="26"/>
      <c r="H4" s="26"/>
      <c r="I4" s="27"/>
      <c r="J4" s="27"/>
      <c r="K4" s="26"/>
      <c r="L4" s="27"/>
      <c r="M4" s="27"/>
      <c r="N4" s="29"/>
      <c r="O4" s="30"/>
      <c r="P4" s="29"/>
      <c r="Q4" s="29"/>
    </row>
    <row r="5" spans="1:17" ht="44.4" customHeight="1">
      <c r="A5" s="31" t="s">
        <v>20</v>
      </c>
      <c r="B5" s="32"/>
      <c r="C5" s="33">
        <v>4</v>
      </c>
      <c r="D5" s="34">
        <v>655000</v>
      </c>
      <c r="E5" s="35">
        <v>2.5</v>
      </c>
      <c r="F5" s="36"/>
      <c r="G5" s="37" cm="1">
        <f t="array" ref="G5">C5*E5*4</f>
        <v>40</v>
      </c>
      <c r="H5" s="38" cm="1">
        <f t="array" ref="H5">G5/120</f>
        <v>0.33333333333333331</v>
      </c>
      <c r="I5" s="34" cm="1">
        <f t="array" ref="I5">C5*D5*E5</f>
        <v>6550000</v>
      </c>
      <c r="J5" s="34" cm="1">
        <f t="array" ref="J5">I5/3200</f>
        <v>2046.875</v>
      </c>
      <c r="K5" s="37">
        <v>4</v>
      </c>
      <c r="L5" s="39" cm="1">
        <f t="array" ref="L5">J5*K5</f>
        <v>8187.5</v>
      </c>
      <c r="M5" s="40" cm="1">
        <f t="array" ref="M5">L5*12</f>
        <v>98250</v>
      </c>
      <c r="N5" s="41"/>
      <c r="O5" s="42" cm="1">
        <f t="array" ref="O5">Rentabilidad!H4</f>
        <v>0.10039292730844794</v>
      </c>
      <c r="P5" s="43"/>
      <c r="Q5" s="24" t="s">
        <v>21</v>
      </c>
    </row>
    <row r="6" spans="1:17" ht="8.4" customHeight="1">
      <c r="A6" s="44"/>
      <c r="B6" s="12"/>
      <c r="C6" s="45"/>
      <c r="D6" s="46"/>
      <c r="E6" s="45"/>
      <c r="F6" s="28"/>
      <c r="G6" s="45"/>
      <c r="H6" s="45"/>
      <c r="I6" s="46"/>
      <c r="J6" s="46"/>
      <c r="K6" s="45"/>
      <c r="L6" s="46"/>
      <c r="M6" s="27"/>
      <c r="N6" s="29"/>
      <c r="O6" s="47"/>
      <c r="P6" s="29"/>
      <c r="Q6" s="29"/>
    </row>
    <row r="7" spans="1:17" ht="32.1" customHeight="1">
      <c r="A7" s="12"/>
      <c r="B7" s="12"/>
      <c r="C7" s="28"/>
      <c r="D7" s="48"/>
      <c r="E7" s="28"/>
      <c r="F7" s="28"/>
      <c r="G7" s="28"/>
      <c r="H7" s="28"/>
      <c r="I7" s="48"/>
      <c r="J7" s="48"/>
      <c r="K7" s="28"/>
      <c r="L7" s="49" t="s">
        <v>22</v>
      </c>
      <c r="M7" s="50" cm="1">
        <f t="array" ref="M7">M5-M3</f>
        <v>58950</v>
      </c>
      <c r="N7" s="23"/>
      <c r="O7" s="51"/>
      <c r="P7" s="29"/>
      <c r="Q7" s="29"/>
    </row>
    <row r="8" spans="1:17" ht="20.100000000000001" customHeight="1">
      <c r="A8" s="52"/>
      <c r="B8" s="12"/>
      <c r="C8" s="53"/>
      <c r="D8" s="54"/>
      <c r="E8" s="53"/>
      <c r="F8" s="28"/>
      <c r="G8" s="53"/>
      <c r="H8" s="53"/>
      <c r="I8" s="54"/>
      <c r="J8" s="54"/>
      <c r="K8" s="53"/>
      <c r="L8" s="54"/>
      <c r="M8" s="27"/>
      <c r="N8" s="29"/>
      <c r="O8" s="55"/>
      <c r="P8" s="29"/>
      <c r="Q8" s="29"/>
    </row>
    <row r="9" spans="1:17" ht="44.4" customHeight="1">
      <c r="A9" s="56" t="s">
        <v>23</v>
      </c>
      <c r="B9" s="32"/>
      <c r="C9" s="33">
        <v>4</v>
      </c>
      <c r="D9" s="57">
        <f>D5+(D5*100%)</f>
        <v>1310000</v>
      </c>
      <c r="E9" s="35">
        <v>3.5</v>
      </c>
      <c r="F9" s="36"/>
      <c r="G9" s="37" cm="1">
        <f t="array" ref="G9">C9*E9*4</f>
        <v>56</v>
      </c>
      <c r="H9" s="38" cm="1">
        <f t="array" ref="H9">G9/120</f>
        <v>0.46666666666666667</v>
      </c>
      <c r="I9" s="34" cm="1">
        <f t="array" ref="I9">C9*D9*E9</f>
        <v>18340000</v>
      </c>
      <c r="J9" s="34" cm="1">
        <f t="array" ref="J9">I9/3200</f>
        <v>5731.25</v>
      </c>
      <c r="K9" s="37">
        <v>4</v>
      </c>
      <c r="L9" s="39" cm="1">
        <f t="array" ref="L9">J9*K9</f>
        <v>22925</v>
      </c>
      <c r="M9" s="40" cm="1">
        <f t="array" ref="M9">L9*12</f>
        <v>275100</v>
      </c>
      <c r="N9" s="41"/>
      <c r="O9" s="42" cm="1">
        <f t="array" ref="O9">Rentabilidad!H5</f>
        <v>0.32338155515370703</v>
      </c>
      <c r="P9" s="43"/>
      <c r="Q9" s="24" t="s">
        <v>21</v>
      </c>
    </row>
    <row r="10" spans="1:17" ht="20.100000000000001" customHeight="1">
      <c r="A10" s="44"/>
      <c r="B10" s="12"/>
      <c r="C10" s="45"/>
      <c r="D10" s="46"/>
      <c r="E10" s="45"/>
      <c r="F10" s="28"/>
      <c r="G10" s="45"/>
      <c r="H10" s="45"/>
      <c r="I10" s="46"/>
      <c r="J10" s="46"/>
      <c r="K10" s="45"/>
      <c r="L10" s="46"/>
      <c r="M10" s="27"/>
      <c r="N10" s="29"/>
      <c r="O10" s="47"/>
      <c r="P10" s="29"/>
      <c r="Q10" s="29"/>
    </row>
    <row r="11" spans="1:17" ht="32.1" customHeight="1">
      <c r="A11" s="12"/>
      <c r="B11" s="12"/>
      <c r="C11" s="28"/>
      <c r="D11" s="48"/>
      <c r="E11" s="28"/>
      <c r="F11" s="28"/>
      <c r="G11" s="28"/>
      <c r="H11" s="28"/>
      <c r="I11" s="48"/>
      <c r="J11" s="48"/>
      <c r="K11" s="28"/>
      <c r="L11" s="49" t="s">
        <v>24</v>
      </c>
      <c r="M11" s="58" cm="1">
        <f t="array" ref="M11">M9-M3</f>
        <v>235800</v>
      </c>
      <c r="N11" s="23"/>
      <c r="O11" s="59"/>
      <c r="P11" s="29"/>
      <c r="Q11" s="29"/>
    </row>
    <row r="12" spans="1:17" ht="20.100000000000001" customHeight="1">
      <c r="A12" s="52"/>
      <c r="B12" s="12"/>
      <c r="C12" s="53"/>
      <c r="D12" s="54"/>
      <c r="E12" s="53"/>
      <c r="F12" s="28"/>
      <c r="G12" s="53"/>
      <c r="H12" s="53"/>
      <c r="I12" s="54"/>
      <c r="J12" s="54"/>
      <c r="K12" s="53"/>
      <c r="L12" s="54"/>
      <c r="M12" s="27"/>
      <c r="N12" s="29"/>
      <c r="O12" s="55"/>
      <c r="P12" s="29"/>
      <c r="Q12" s="29"/>
    </row>
    <row r="13" spans="1:17" ht="44.4" customHeight="1">
      <c r="A13" s="60" t="s">
        <v>25</v>
      </c>
      <c r="B13" s="32"/>
      <c r="C13" s="61">
        <v>5</v>
      </c>
      <c r="D13" s="57">
        <f>D9</f>
        <v>1310000</v>
      </c>
      <c r="E13" s="35">
        <v>3.5</v>
      </c>
      <c r="F13" s="36"/>
      <c r="G13" s="37" cm="1">
        <f t="array" ref="G13">C13*E13*4</f>
        <v>70</v>
      </c>
      <c r="H13" s="38" cm="1">
        <f t="array" ref="H13">G13/120</f>
        <v>0.58333333333333337</v>
      </c>
      <c r="I13" s="34" cm="1">
        <f t="array" ref="I13">C13*D13*E13</f>
        <v>22925000</v>
      </c>
      <c r="J13" s="34" cm="1">
        <f t="array" ref="J13">I13/3200</f>
        <v>7164.0625</v>
      </c>
      <c r="K13" s="37">
        <v>4</v>
      </c>
      <c r="L13" s="39" cm="1">
        <f t="array" ref="L13">J13*K13</f>
        <v>28656.25</v>
      </c>
      <c r="M13" s="40" cm="1">
        <f t="array" ref="M13">L13*12</f>
        <v>343875</v>
      </c>
      <c r="N13" s="41"/>
      <c r="O13" s="42" cm="1">
        <f t="array" ref="O13">Rentabilidad!H6</f>
        <v>0.1725769669327252</v>
      </c>
      <c r="P13" s="43"/>
      <c r="Q13" s="24" t="s">
        <v>21</v>
      </c>
    </row>
    <row r="14" spans="1:17" ht="20.100000000000001" customHeight="1">
      <c r="A14" s="44"/>
      <c r="B14" s="12"/>
      <c r="C14" s="45"/>
      <c r="D14" s="46"/>
      <c r="E14" s="45"/>
      <c r="F14" s="28"/>
      <c r="G14" s="45"/>
      <c r="H14" s="45"/>
      <c r="I14" s="46"/>
      <c r="J14" s="46"/>
      <c r="K14" s="45"/>
      <c r="L14" s="46"/>
      <c r="M14" s="27"/>
      <c r="N14" s="29"/>
      <c r="O14" s="47"/>
      <c r="P14" s="29"/>
      <c r="Q14" s="29"/>
    </row>
    <row r="15" spans="1:17" ht="44.1" customHeight="1">
      <c r="A15" s="12"/>
      <c r="B15" s="12"/>
      <c r="C15" s="28"/>
      <c r="D15" s="48"/>
      <c r="E15" s="28"/>
      <c r="F15" s="28"/>
      <c r="G15" s="28"/>
      <c r="H15" s="28"/>
      <c r="I15" s="48"/>
      <c r="J15" s="48"/>
      <c r="K15" s="28"/>
      <c r="L15" s="49" t="s">
        <v>26</v>
      </c>
      <c r="M15" s="62" cm="1">
        <f t="array" ref="M15">M13-M7</f>
        <v>284925</v>
      </c>
      <c r="N15" s="23"/>
      <c r="O15" s="63"/>
      <c r="P15" s="29"/>
      <c r="Q15" s="29"/>
    </row>
  </sheetData>
  <mergeCells count="1">
    <mergeCell ref="A1:Q1"/>
  </mergeCell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
  <sheetViews>
    <sheetView showGridLines="0" workbookViewId="0">
      <pane xSplit="1" ySplit="2" topLeftCell="B3" activePane="bottomRight" state="frozen"/>
      <selection pane="topRight"/>
      <selection pane="bottomLeft"/>
      <selection pane="bottomRight" activeCell="B3" sqref="B3"/>
    </sheetView>
  </sheetViews>
  <sheetFormatPr baseColWidth="10" defaultColWidth="16.33203125" defaultRowHeight="19.95" customHeight="1"/>
  <cols>
    <col min="1" max="1" width="21.109375" style="5" customWidth="1"/>
    <col min="2" max="5" width="16.33203125" style="5" customWidth="1"/>
    <col min="6" max="6" width="16.33203125" style="5" hidden="1" customWidth="1"/>
    <col min="7" max="9" width="16.33203125" style="5" customWidth="1"/>
    <col min="10" max="16384" width="16.33203125" style="5"/>
  </cols>
  <sheetData>
    <row r="1" spans="1:8" ht="27.6" customHeight="1">
      <c r="A1" s="78" t="s">
        <v>27</v>
      </c>
      <c r="B1" s="78"/>
      <c r="C1" s="78"/>
      <c r="D1" s="78"/>
      <c r="E1" s="78"/>
      <c r="F1" s="78"/>
      <c r="G1" s="78"/>
      <c r="H1" s="78"/>
    </row>
    <row r="2" spans="1:8" ht="30.3" customHeight="1">
      <c r="A2" s="64"/>
      <c r="B2" s="65" t="s">
        <v>28</v>
      </c>
      <c r="C2" s="65" t="s">
        <v>29</v>
      </c>
      <c r="D2" s="65" t="s">
        <v>30</v>
      </c>
      <c r="E2" s="65" t="s">
        <v>31</v>
      </c>
      <c r="F2" s="65" t="s">
        <v>32</v>
      </c>
      <c r="G2" s="65" t="s">
        <v>33</v>
      </c>
      <c r="H2" s="65" t="s">
        <v>34</v>
      </c>
    </row>
    <row r="3" spans="1:8" ht="21.6" customHeight="1">
      <c r="A3" s="66" t="s">
        <v>35</v>
      </c>
      <c r="B3" s="67">
        <v>2000000000</v>
      </c>
      <c r="C3" s="68" cm="1">
        <f t="array" ref="C3">B3/3200</f>
        <v>625000</v>
      </c>
      <c r="D3" s="68" cm="1">
        <f t="array" ref="D3">'Proy. X Etapas - Proyecciones f'!M3</f>
        <v>39300</v>
      </c>
      <c r="E3" s="68" cm="1">
        <f t="array" ref="E3">110000000/3200</f>
        <v>34375</v>
      </c>
      <c r="F3" s="69" cm="1">
        <f t="array" ref="F3">D3*3200</f>
        <v>125760000</v>
      </c>
      <c r="G3" s="69" cm="1">
        <f t="array" ref="G3">D3-E3</f>
        <v>4925</v>
      </c>
      <c r="H3" s="70" cm="1">
        <f t="array" ref="H3">G3/B3</f>
        <v>2.4625000000000001E-6</v>
      </c>
    </row>
    <row r="4" spans="1:8" ht="21.3" customHeight="1">
      <c r="A4" s="71" t="s">
        <v>36</v>
      </c>
      <c r="B4" s="72">
        <v>36000000</v>
      </c>
      <c r="C4" s="73" cm="1">
        <f t="array" ref="C4">(B3+B4)/3200</f>
        <v>636250</v>
      </c>
      <c r="D4" s="73" cm="1">
        <f t="array" ref="D4">'Proy. X Etapas - Proyecciones f'!M5</f>
        <v>98250</v>
      </c>
      <c r="E4" s="73" cm="1">
        <f t="array" ref="E4">110000000/3200</f>
        <v>34375</v>
      </c>
      <c r="F4" s="74" cm="1">
        <f t="array" ref="F4">D4*3200</f>
        <v>314400000</v>
      </c>
      <c r="G4" s="74" cm="1">
        <f t="array" ref="G4">D4-E4</f>
        <v>63875</v>
      </c>
      <c r="H4" s="75" cm="1">
        <f t="array" ref="H4">G4/C4</f>
        <v>0.10039292730844794</v>
      </c>
    </row>
    <row r="5" spans="1:8" ht="21.3" customHeight="1">
      <c r="A5" s="71" t="s">
        <v>37</v>
      </c>
      <c r="B5" s="72">
        <v>176000000</v>
      </c>
      <c r="C5" s="73" cm="1">
        <f t="array" ref="C5">(B3+B4+B5)/3200</f>
        <v>691250</v>
      </c>
      <c r="D5" s="73" cm="1">
        <f t="array" ref="D5">'Proy. X Etapas - Proyecciones f'!M9</f>
        <v>275100</v>
      </c>
      <c r="E5" s="73" cm="1">
        <f t="array" ref="E5">E4*1.5</f>
        <v>51562.5</v>
      </c>
      <c r="F5" s="74" cm="1">
        <f t="array" ref="F5">D5*3200</f>
        <v>880320000</v>
      </c>
      <c r="G5" s="74" cm="1">
        <f t="array" ref="G5">D5-E5</f>
        <v>223537.5</v>
      </c>
      <c r="H5" s="75" cm="1">
        <f t="array" ref="H5">G5/C5</f>
        <v>0.32338155515370703</v>
      </c>
    </row>
    <row r="6" spans="1:8" ht="21.3" customHeight="1">
      <c r="A6" s="71" t="s">
        <v>38</v>
      </c>
      <c r="B6" s="72">
        <v>1296000000</v>
      </c>
      <c r="C6" s="73" cm="1">
        <f t="array" ref="C6">(B3+B4+B5+B6)/3200</f>
        <v>1096250</v>
      </c>
      <c r="D6" s="73" cm="1">
        <f t="array" ref="D6">'Proy. X Etapas - Proyecciones f'!M13</f>
        <v>343875</v>
      </c>
      <c r="E6" s="73" cm="1">
        <f t="array" ref="E6">E5*3</f>
        <v>154687.5</v>
      </c>
      <c r="F6" s="74" cm="1">
        <f t="array" ref="F6">D6*3200</f>
        <v>1100400000</v>
      </c>
      <c r="G6" s="74" cm="1">
        <f t="array" ref="G6">D6-E6</f>
        <v>189187.5</v>
      </c>
      <c r="H6" s="75" cm="1">
        <f t="array" ref="H6">G6/C6</f>
        <v>0.1725769669327252</v>
      </c>
    </row>
  </sheetData>
  <mergeCells count="1">
    <mergeCell ref="A1:H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 de exportación</vt:lpstr>
      <vt:lpstr>Proy. X Etapas - Proyecciones f</vt:lpstr>
      <vt:lpstr>Rentabilidad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Julián D. Pérez</cp:lastModifiedBy>
  <dcterms:modified xsi:type="dcterms:W3CDTF">2026-07-30T22:41:46Z</dcterms:modified>
</cp:coreProperties>
</file>